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 Barbosa\Downloads\"/>
    </mc:Choice>
  </mc:AlternateContent>
  <bookViews>
    <workbookView xWindow="0" yWindow="0" windowWidth="20490" windowHeight="8940"/>
  </bookViews>
  <sheets>
    <sheet name="Planilha2" sheetId="3" r:id="rId1"/>
    <sheet name="Planilha3" sheetId="4" r:id="rId2"/>
    <sheet name="Sheet1" sheetId="1" r:id="rId3"/>
    <sheet name="Planilha1" sheetId="2" r:id="rId4"/>
  </sheets>
  <calcPr calcId="162913"/>
  <pivotCaches>
    <pivotCache cacheId="13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D60" i="2" l="1"/>
  <c r="C60" i="2"/>
  <c r="D59" i="2"/>
  <c r="D58" i="2"/>
  <c r="C58" i="2"/>
  <c r="C59" i="2"/>
  <c r="D57" i="2"/>
  <c r="C57" i="2"/>
</calcChain>
</file>

<file path=xl/sharedStrings.xml><?xml version="1.0" encoding="utf-8"?>
<sst xmlns="http://schemas.openxmlformats.org/spreadsheetml/2006/main" count="360" uniqueCount="29">
  <si>
    <t>Id</t>
  </si>
  <si>
    <t>Sexo</t>
  </si>
  <si>
    <t>Peso Antes</t>
  </si>
  <si>
    <t>Peso Depois</t>
  </si>
  <si>
    <t>Fuma</t>
  </si>
  <si>
    <t>Exerc</t>
  </si>
  <si>
    <t>AtivFis</t>
  </si>
  <si>
    <t>F</t>
  </si>
  <si>
    <t>NAO</t>
  </si>
  <si>
    <t>Alta</t>
  </si>
  <si>
    <t>Media</t>
  </si>
  <si>
    <t>Baixa</t>
  </si>
  <si>
    <t>SIM</t>
  </si>
  <si>
    <t>M</t>
  </si>
  <si>
    <t>media</t>
  </si>
  <si>
    <t>DP</t>
  </si>
  <si>
    <t>mediana</t>
  </si>
  <si>
    <t>cv</t>
  </si>
  <si>
    <t>Rótulos de Linha</t>
  </si>
  <si>
    <t>Total Geral</t>
  </si>
  <si>
    <t>Soma de Exerc</t>
  </si>
  <si>
    <t>Contagem de Exerc2</t>
  </si>
  <si>
    <t>exercicios</t>
  </si>
  <si>
    <t>Contagem de Fuma</t>
  </si>
  <si>
    <t>Contagem de Fuma2</t>
  </si>
  <si>
    <t>exercicio por semana</t>
  </si>
  <si>
    <t>Média de Exerc</t>
  </si>
  <si>
    <t>Soma de Exerc2</t>
  </si>
  <si>
    <t>DesvPad de Exerc2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</si>
</sst>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Open Sans"/>
    </font>
    <font>
      <b/>
      <sz val="10"/>
      <color theme="1"/>
      <name val="Open Sans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heus Barbosa" refreshedDate="45561.481983912039" createdVersion="6" refreshedVersion="6" minRefreshableVersion="3" recordCount="54">
  <cacheSource type="worksheet">
    <worksheetSource ref="A1:G55" sheet="Sheet1"/>
  </cacheSource>
  <cacheFields count="7">
    <cacheField name="Id" numFmtId="0">
      <sharedItems containsSemiMixedTypes="0" containsString="0" containsNumber="1" containsInteger="1" minValue="1" maxValue="54"/>
    </cacheField>
    <cacheField name="Sexo" numFmtId="0">
      <sharedItems/>
    </cacheField>
    <cacheField name="Peso Antes" numFmtId="0">
      <sharedItems containsSemiMixedTypes="0" containsString="0" containsNumber="1" minValue="44" maxValue="95"/>
    </cacheField>
    <cacheField name="Peso Depois" numFmtId="0">
      <sharedItems containsSemiMixedTypes="0" containsString="0" containsNumber="1" minValue="45.8" maxValue="88.6"/>
    </cacheField>
    <cacheField name="Fuma" numFmtId="0">
      <sharedItems count="2">
        <s v="NAO"/>
        <s v="SIM"/>
      </sharedItems>
    </cacheField>
    <cacheField name="Exerc" numFmtId="0">
      <sharedItems containsSemiMixedTypes="0" containsString="0" containsNumber="1" containsInteger="1" minValue="0" maxValue="12" count="12">
        <n v="6"/>
        <n v="3"/>
        <n v="4"/>
        <n v="7"/>
        <n v="2"/>
        <n v="12"/>
        <n v="10"/>
        <n v="5"/>
        <n v="9"/>
        <n v="8"/>
        <n v="0"/>
        <n v="1"/>
      </sharedItems>
    </cacheField>
    <cacheField name="AtivFi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theus Barbosa" refreshedDate="45561.489507060185" createdVersion="6" refreshedVersion="6" minRefreshableVersion="3" recordCount="54">
  <cacheSource type="worksheet">
    <worksheetSource ref="E1:F55" sheet="Sheet1"/>
  </cacheSource>
  <cacheFields count="2">
    <cacheField name="Fuma" numFmtId="0">
      <sharedItems count="2">
        <s v="NAO"/>
        <s v="SIM"/>
      </sharedItems>
    </cacheField>
    <cacheField name="Exerc" numFmtId="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n v="1"/>
    <s v="F"/>
    <n v="60.5"/>
    <n v="51.4"/>
    <x v="0"/>
    <x v="0"/>
    <s v="Alta"/>
  </r>
  <r>
    <n v="2"/>
    <s v="F"/>
    <n v="55"/>
    <n v="51.3"/>
    <x v="0"/>
    <x v="1"/>
    <s v="Media"/>
  </r>
  <r>
    <n v="5"/>
    <s v="F"/>
    <n v="55"/>
    <n v="52"/>
    <x v="0"/>
    <x v="2"/>
    <s v="Media"/>
  </r>
  <r>
    <n v="7"/>
    <s v="F"/>
    <n v="58"/>
    <n v="47"/>
    <x v="0"/>
    <x v="3"/>
    <s v="Alta"/>
  </r>
  <r>
    <n v="8"/>
    <s v="F"/>
    <n v="47"/>
    <n v="50.5"/>
    <x v="1"/>
    <x v="4"/>
    <s v="Baixa"/>
  </r>
  <r>
    <n v="9"/>
    <s v="F"/>
    <n v="57.8"/>
    <n v="55.8"/>
    <x v="0"/>
    <x v="1"/>
    <s v="Media"/>
  </r>
  <r>
    <n v="10"/>
    <s v="F"/>
    <n v="58"/>
    <n v="52.8"/>
    <x v="0"/>
    <x v="5"/>
    <s v="Alta"/>
  </r>
  <r>
    <n v="11"/>
    <s v="F"/>
    <n v="70"/>
    <n v="52.5"/>
    <x v="1"/>
    <x v="6"/>
    <s v="Alta"/>
  </r>
  <r>
    <n v="12"/>
    <s v="F"/>
    <n v="54"/>
    <n v="51.6"/>
    <x v="0"/>
    <x v="7"/>
    <s v="Media"/>
  </r>
  <r>
    <n v="13"/>
    <s v="F"/>
    <n v="58"/>
    <n v="50.7"/>
    <x v="0"/>
    <x v="8"/>
    <s v="Alta"/>
  </r>
  <r>
    <n v="15"/>
    <s v="F"/>
    <n v="63.5"/>
    <n v="52.8"/>
    <x v="0"/>
    <x v="9"/>
    <s v="Alta"/>
  </r>
  <r>
    <n v="16"/>
    <s v="F"/>
    <n v="47.4"/>
    <n v="52.8"/>
    <x v="0"/>
    <x v="10"/>
    <s v="Baixa"/>
  </r>
  <r>
    <n v="17"/>
    <s v="F"/>
    <n v="66"/>
    <n v="52.7"/>
    <x v="0"/>
    <x v="6"/>
    <s v="Alta"/>
  </r>
  <r>
    <n v="19"/>
    <s v="F"/>
    <n v="54.5"/>
    <n v="50.6"/>
    <x v="0"/>
    <x v="1"/>
    <s v="Media"/>
  </r>
  <r>
    <n v="20"/>
    <s v="F"/>
    <n v="52.5"/>
    <n v="52.7"/>
    <x v="0"/>
    <x v="11"/>
    <s v="Baixa"/>
  </r>
  <r>
    <n v="21"/>
    <s v="F"/>
    <n v="60"/>
    <n v="51.5"/>
    <x v="0"/>
    <x v="9"/>
    <s v="Alta"/>
  </r>
  <r>
    <n v="22"/>
    <s v="F"/>
    <n v="58.5"/>
    <n v="53.5"/>
    <x v="0"/>
    <x v="0"/>
    <s v="Media"/>
  </r>
  <r>
    <n v="23"/>
    <s v="F"/>
    <n v="49.2"/>
    <n v="48"/>
    <x v="1"/>
    <x v="7"/>
    <s v="Media"/>
  </r>
  <r>
    <n v="24"/>
    <s v="F"/>
    <n v="48"/>
    <n v="49.7"/>
    <x v="1"/>
    <x v="1"/>
    <s v="Baixa"/>
  </r>
  <r>
    <n v="25"/>
    <s v="F"/>
    <n v="51.6"/>
    <n v="48.9"/>
    <x v="0"/>
    <x v="7"/>
    <s v="Media"/>
  </r>
  <r>
    <n v="26"/>
    <s v="F"/>
    <n v="57"/>
    <n v="53.6"/>
    <x v="0"/>
    <x v="0"/>
    <s v="Media"/>
  </r>
  <r>
    <n v="27"/>
    <s v="F"/>
    <n v="63"/>
    <n v="55.9"/>
    <x v="0"/>
    <x v="9"/>
    <s v="Alta"/>
  </r>
  <r>
    <n v="28"/>
    <s v="F"/>
    <n v="52"/>
    <n v="49.6"/>
    <x v="0"/>
    <x v="11"/>
    <s v="Media"/>
  </r>
  <r>
    <n v="29"/>
    <s v="F"/>
    <n v="49"/>
    <n v="51.3"/>
    <x v="0"/>
    <x v="1"/>
    <s v="Baixa"/>
  </r>
  <r>
    <n v="30"/>
    <s v="F"/>
    <n v="59"/>
    <n v="45.8"/>
    <x v="0"/>
    <x v="11"/>
    <s v="Alta"/>
  </r>
  <r>
    <n v="31"/>
    <s v="F"/>
    <n v="52"/>
    <n v="49.2"/>
    <x v="0"/>
    <x v="4"/>
    <s v="Media"/>
  </r>
  <r>
    <n v="33"/>
    <s v="F"/>
    <n v="56"/>
    <n v="50.4"/>
    <x v="0"/>
    <x v="4"/>
    <s v="Alta"/>
  </r>
  <r>
    <n v="34"/>
    <s v="F"/>
    <n v="58"/>
    <n v="49.9"/>
    <x v="0"/>
    <x v="2"/>
    <s v="Alta"/>
  </r>
  <r>
    <n v="36"/>
    <s v="F"/>
    <n v="47"/>
    <n v="50.9"/>
    <x v="0"/>
    <x v="7"/>
    <s v="Baixa"/>
  </r>
  <r>
    <n v="39"/>
    <s v="F"/>
    <n v="60"/>
    <n v="50.1"/>
    <x v="0"/>
    <x v="7"/>
    <s v="Alta"/>
  </r>
  <r>
    <n v="41"/>
    <s v="F"/>
    <n v="55"/>
    <n v="50.2"/>
    <x v="0"/>
    <x v="7"/>
    <s v="Media"/>
  </r>
  <r>
    <n v="42"/>
    <s v="F"/>
    <n v="44"/>
    <n v="52.2"/>
    <x v="0"/>
    <x v="4"/>
    <s v="Baixa"/>
  </r>
  <r>
    <n v="44"/>
    <s v="F"/>
    <n v="55"/>
    <n v="50.9"/>
    <x v="0"/>
    <x v="7"/>
    <s v="Media"/>
  </r>
  <r>
    <n v="45"/>
    <s v="M"/>
    <n v="67"/>
    <n v="65"/>
    <x v="0"/>
    <x v="10"/>
    <s v="Media"/>
  </r>
  <r>
    <n v="46"/>
    <s v="M"/>
    <n v="60"/>
    <n v="60"/>
    <x v="0"/>
    <x v="10"/>
    <s v="Baixa"/>
  </r>
  <r>
    <n v="47"/>
    <s v="M"/>
    <n v="72"/>
    <n v="71"/>
    <x v="0"/>
    <x v="2"/>
    <s v="Baixa"/>
  </r>
  <r>
    <n v="48"/>
    <s v="M"/>
    <n v="55"/>
    <n v="56"/>
    <x v="0"/>
    <x v="4"/>
    <s v="Baixa"/>
  </r>
  <r>
    <n v="3"/>
    <s v="M"/>
    <n v="72.8"/>
    <n v="70"/>
    <x v="0"/>
    <x v="7"/>
    <s v="Media"/>
  </r>
  <r>
    <n v="4"/>
    <s v="M"/>
    <n v="80.900000000000006"/>
    <n v="78.599999999999994"/>
    <x v="0"/>
    <x v="7"/>
    <s v="Media"/>
  </r>
  <r>
    <n v="6"/>
    <s v="M"/>
    <n v="60"/>
    <n v="58.7"/>
    <x v="0"/>
    <x v="4"/>
    <s v="Media"/>
  </r>
  <r>
    <n v="14"/>
    <s v="M"/>
    <n v="68.5"/>
    <n v="65"/>
    <x v="1"/>
    <x v="7"/>
    <s v="Media"/>
  </r>
  <r>
    <n v="18"/>
    <s v="M"/>
    <n v="85.2"/>
    <n v="79.2"/>
    <x v="0"/>
    <x v="1"/>
    <s v="Alta"/>
  </r>
  <r>
    <n v="32"/>
    <s v="M"/>
    <n v="73"/>
    <n v="70"/>
    <x v="0"/>
    <x v="11"/>
    <s v="Media"/>
  </r>
  <r>
    <n v="35"/>
    <s v="M"/>
    <n v="87"/>
    <n v="86.1"/>
    <x v="0"/>
    <x v="3"/>
    <s v="Baixa"/>
  </r>
  <r>
    <n v="37"/>
    <s v="M"/>
    <n v="95"/>
    <n v="88.6"/>
    <x v="0"/>
    <x v="6"/>
    <s v="Alta"/>
  </r>
  <r>
    <n v="38"/>
    <s v="M"/>
    <n v="84"/>
    <n v="83"/>
    <x v="1"/>
    <x v="0"/>
    <s v="Baixa"/>
  </r>
  <r>
    <n v="40"/>
    <s v="M"/>
    <n v="73"/>
    <n v="72"/>
    <x v="0"/>
    <x v="2"/>
    <s v="Baixa"/>
  </r>
  <r>
    <n v="43"/>
    <s v="M"/>
    <n v="75"/>
    <n v="72.7"/>
    <x v="0"/>
    <x v="3"/>
    <s v="Media"/>
  </r>
  <r>
    <n v="49"/>
    <s v="M"/>
    <n v="71"/>
    <n v="71.400000000000006"/>
    <x v="0"/>
    <x v="3"/>
    <s v="Baixa"/>
  </r>
  <r>
    <n v="50"/>
    <s v="M"/>
    <n v="86"/>
    <n v="78"/>
    <x v="0"/>
    <x v="3"/>
    <s v="Alta"/>
  </r>
  <r>
    <n v="51"/>
    <s v="F"/>
    <n v="58"/>
    <n v="52.8"/>
    <x v="0"/>
    <x v="5"/>
    <s v="Alta"/>
  </r>
  <r>
    <n v="52"/>
    <s v="F"/>
    <n v="70"/>
    <n v="52.5"/>
    <x v="1"/>
    <x v="6"/>
    <s v="Alta"/>
  </r>
  <r>
    <n v="53"/>
    <s v="F"/>
    <n v="56"/>
    <n v="50.4"/>
    <x v="0"/>
    <x v="4"/>
    <s v="Alta"/>
  </r>
  <r>
    <n v="54"/>
    <s v="F"/>
    <n v="58"/>
    <n v="49.9"/>
    <x v="0"/>
    <x v="2"/>
    <s v="Al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">
  <r>
    <x v="0"/>
    <n v="6"/>
  </r>
  <r>
    <x v="0"/>
    <n v="3"/>
  </r>
  <r>
    <x v="0"/>
    <n v="4"/>
  </r>
  <r>
    <x v="0"/>
    <n v="7"/>
  </r>
  <r>
    <x v="1"/>
    <n v="2"/>
  </r>
  <r>
    <x v="0"/>
    <n v="3"/>
  </r>
  <r>
    <x v="0"/>
    <n v="12"/>
  </r>
  <r>
    <x v="1"/>
    <n v="10"/>
  </r>
  <r>
    <x v="0"/>
    <n v="5"/>
  </r>
  <r>
    <x v="0"/>
    <n v="9"/>
  </r>
  <r>
    <x v="0"/>
    <n v="8"/>
  </r>
  <r>
    <x v="0"/>
    <n v="0"/>
  </r>
  <r>
    <x v="0"/>
    <n v="10"/>
  </r>
  <r>
    <x v="0"/>
    <n v="3"/>
  </r>
  <r>
    <x v="0"/>
    <n v="1"/>
  </r>
  <r>
    <x v="0"/>
    <n v="8"/>
  </r>
  <r>
    <x v="0"/>
    <n v="6"/>
  </r>
  <r>
    <x v="1"/>
    <n v="5"/>
  </r>
  <r>
    <x v="1"/>
    <n v="3"/>
  </r>
  <r>
    <x v="0"/>
    <n v="5"/>
  </r>
  <r>
    <x v="0"/>
    <n v="6"/>
  </r>
  <r>
    <x v="0"/>
    <n v="8"/>
  </r>
  <r>
    <x v="0"/>
    <n v="1"/>
  </r>
  <r>
    <x v="0"/>
    <n v="3"/>
  </r>
  <r>
    <x v="0"/>
    <n v="1"/>
  </r>
  <r>
    <x v="0"/>
    <n v="2"/>
  </r>
  <r>
    <x v="0"/>
    <n v="2"/>
  </r>
  <r>
    <x v="0"/>
    <n v="4"/>
  </r>
  <r>
    <x v="0"/>
    <n v="5"/>
  </r>
  <r>
    <x v="0"/>
    <n v="5"/>
  </r>
  <r>
    <x v="0"/>
    <n v="5"/>
  </r>
  <r>
    <x v="0"/>
    <n v="2"/>
  </r>
  <r>
    <x v="0"/>
    <n v="5"/>
  </r>
  <r>
    <x v="0"/>
    <n v="0"/>
  </r>
  <r>
    <x v="0"/>
    <n v="0"/>
  </r>
  <r>
    <x v="0"/>
    <n v="4"/>
  </r>
  <r>
    <x v="0"/>
    <n v="2"/>
  </r>
  <r>
    <x v="0"/>
    <n v="5"/>
  </r>
  <r>
    <x v="0"/>
    <n v="5"/>
  </r>
  <r>
    <x v="0"/>
    <n v="2"/>
  </r>
  <r>
    <x v="1"/>
    <n v="5"/>
  </r>
  <r>
    <x v="0"/>
    <n v="3"/>
  </r>
  <r>
    <x v="0"/>
    <n v="1"/>
  </r>
  <r>
    <x v="0"/>
    <n v="7"/>
  </r>
  <r>
    <x v="0"/>
    <n v="10"/>
  </r>
  <r>
    <x v="1"/>
    <n v="6"/>
  </r>
  <r>
    <x v="0"/>
    <n v="4"/>
  </r>
  <r>
    <x v="0"/>
    <n v="7"/>
  </r>
  <r>
    <x v="0"/>
    <n v="7"/>
  </r>
  <r>
    <x v="0"/>
    <n v="7"/>
  </r>
  <r>
    <x v="0"/>
    <n v="12"/>
  </r>
  <r>
    <x v="1"/>
    <n v="10"/>
  </r>
  <r>
    <x v="0"/>
    <n v="2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6" firstHeaderRow="0" firstDataRow="1" firstDataCol="1"/>
  <pivotFields count="7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>
      <items count="13">
        <item x="10"/>
        <item x="11"/>
        <item x="4"/>
        <item x="1"/>
        <item x="2"/>
        <item x="7"/>
        <item x="0"/>
        <item x="3"/>
        <item x="9"/>
        <item x="8"/>
        <item x="6"/>
        <item x="5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édia de Exerc" fld="5" subtotal="average" baseField="4" baseItem="1"/>
    <dataField name="Soma de Exerc" fld="5" baseField="0" baseItem="0"/>
    <dataField name="Contagem de Exerc2" fld="5" subtotal="count" baseField="4" baseItem="0"/>
    <dataField name="DesvPad de Exerc2" fld="5" subtotal="stdDev" baseField="4" baseItem="0"/>
    <dataField name="Soma de Exerc2" fld="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6" firstHeaderRow="0" firstDataRow="1" firstDataCol="1"/>
  <pivotFields count="2">
    <pivotField axis="axisRow" dataField="1" showAll="0">
      <items count="3">
        <item x="0"/>
        <item x="1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Fuma" fld="0" subtotal="count" baseField="0" baseItem="0"/>
    <dataField name="Contagem de Fuma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activeCell="D5" sqref="D5"/>
    </sheetView>
  </sheetViews>
  <sheetFormatPr defaultRowHeight="12.75"/>
  <cols>
    <col min="1" max="1" width="18.7109375" customWidth="1"/>
    <col min="2" max="2" width="15.28515625" customWidth="1"/>
    <col min="3" max="3" width="15" customWidth="1"/>
    <col min="4" max="4" width="20.140625" customWidth="1"/>
    <col min="5" max="5" width="18.7109375" customWidth="1"/>
    <col min="6" max="6" width="16" customWidth="1"/>
    <col min="7" max="7" width="12.85546875" customWidth="1"/>
    <col min="8" max="8" width="19.140625" customWidth="1"/>
    <col min="9" max="9" width="12.85546875" customWidth="1"/>
    <col min="10" max="10" width="19.140625" customWidth="1"/>
    <col min="11" max="11" width="12.85546875" customWidth="1"/>
    <col min="12" max="12" width="19.140625" customWidth="1"/>
    <col min="13" max="13" width="12.85546875" customWidth="1"/>
    <col min="14" max="14" width="19.140625" bestFit="1" customWidth="1"/>
    <col min="15" max="15" width="12.85546875" customWidth="1"/>
    <col min="16" max="16" width="19.140625" bestFit="1" customWidth="1"/>
    <col min="17" max="17" width="12.85546875" customWidth="1"/>
    <col min="18" max="18" width="19.140625" bestFit="1" customWidth="1"/>
    <col min="19" max="19" width="12.85546875" customWidth="1"/>
    <col min="20" max="20" width="19.140625" bestFit="1" customWidth="1"/>
    <col min="21" max="21" width="12.85546875" customWidth="1"/>
    <col min="22" max="22" width="19.140625" bestFit="1" customWidth="1"/>
    <col min="23" max="23" width="12.85546875" customWidth="1"/>
    <col min="24" max="24" width="19.140625" bestFit="1" customWidth="1"/>
    <col min="25" max="25" width="12.85546875" customWidth="1"/>
    <col min="26" max="26" width="24.42578125" bestFit="1" customWidth="1"/>
    <col min="27" max="27" width="18.28515625" customWidth="1"/>
  </cols>
  <sheetData>
    <row r="3" spans="1:6">
      <c r="A3" s="3" t="s">
        <v>18</v>
      </c>
      <c r="B3" t="s">
        <v>26</v>
      </c>
      <c r="C3" t="s">
        <v>20</v>
      </c>
      <c r="D3" t="s">
        <v>21</v>
      </c>
      <c r="E3" t="s">
        <v>28</v>
      </c>
      <c r="F3" t="s">
        <v>27</v>
      </c>
    </row>
    <row r="4" spans="1:6">
      <c r="A4" s="4" t="s">
        <v>8</v>
      </c>
      <c r="B4" s="5">
        <v>4.7021276595744679</v>
      </c>
      <c r="C4" s="5">
        <v>221</v>
      </c>
      <c r="D4" s="5">
        <v>47</v>
      </c>
      <c r="E4" s="5">
        <v>3.0496963043172247</v>
      </c>
      <c r="F4" s="5">
        <v>221</v>
      </c>
    </row>
    <row r="5" spans="1:6">
      <c r="A5" s="4" t="s">
        <v>12</v>
      </c>
      <c r="B5" s="5">
        <v>5.8571428571428568</v>
      </c>
      <c r="C5" s="5">
        <v>41</v>
      </c>
      <c r="D5" s="5">
        <v>7</v>
      </c>
      <c r="E5" s="5">
        <v>3.1320159337914948</v>
      </c>
      <c r="F5" s="5">
        <v>41</v>
      </c>
    </row>
    <row r="6" spans="1:6">
      <c r="A6" s="4" t="s">
        <v>19</v>
      </c>
      <c r="B6" s="5">
        <v>4.8518518518518521</v>
      </c>
      <c r="C6" s="5">
        <v>262</v>
      </c>
      <c r="D6" s="5">
        <v>54</v>
      </c>
      <c r="E6" s="5">
        <v>3.0555079089100063</v>
      </c>
      <c r="F6" s="5">
        <v>262</v>
      </c>
    </row>
    <row r="12" spans="1:6">
      <c r="B12" t="s">
        <v>25</v>
      </c>
    </row>
    <row r="13" spans="1:6">
      <c r="A13" t="s">
        <v>14</v>
      </c>
      <c r="B13">
        <v>4.8518518520000002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C6" sqref="C6"/>
    </sheetView>
  </sheetViews>
  <sheetFormatPr defaultRowHeight="12.75"/>
  <cols>
    <col min="1" max="1" width="18.7109375" customWidth="1"/>
    <col min="2" max="2" width="19.140625" customWidth="1"/>
    <col min="3" max="3" width="20.140625" bestFit="1" customWidth="1"/>
  </cols>
  <sheetData>
    <row r="3" spans="1:3">
      <c r="A3" s="3" t="s">
        <v>18</v>
      </c>
      <c r="B3" t="s">
        <v>23</v>
      </c>
      <c r="C3" t="s">
        <v>24</v>
      </c>
    </row>
    <row r="4" spans="1:3">
      <c r="A4" s="4" t="s">
        <v>8</v>
      </c>
      <c r="B4" s="5">
        <v>47</v>
      </c>
      <c r="C4" s="6">
        <v>0.87037037037037035</v>
      </c>
    </row>
    <row r="5" spans="1:3">
      <c r="A5" s="4" t="s">
        <v>12</v>
      </c>
      <c r="B5" s="5">
        <v>7</v>
      </c>
      <c r="C5" s="6">
        <v>0.12962962962962962</v>
      </c>
    </row>
    <row r="6" spans="1:3">
      <c r="A6" s="4" t="s">
        <v>19</v>
      </c>
      <c r="B6" s="5">
        <v>54</v>
      </c>
      <c r="C6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zoomScale="115" zoomScaleNormal="115" workbookViewId="0">
      <selection activeCell="H8" sqref="H8"/>
    </sheetView>
  </sheetViews>
  <sheetFormatPr defaultColWidth="14.42578125" defaultRowHeight="15" customHeight="1"/>
  <cols>
    <col min="1" max="1" width="3" customWidth="1"/>
    <col min="2" max="2" width="8" customWidth="1"/>
    <col min="3" max="3" width="10.85546875" bestFit="1" customWidth="1"/>
    <col min="4" max="4" width="12.5703125" customWidth="1"/>
    <col min="5" max="7" width="8" customWidth="1"/>
    <col min="9" max="9" width="19" bestFit="1" customWidth="1"/>
    <col min="10" max="10" width="20.42578125" bestFit="1" customWidth="1"/>
    <col min="11" max="12" width="8.7109375" bestFit="1" customWidth="1"/>
    <col min="13" max="13" width="11.28515625" bestFit="1" customWidth="1"/>
  </cols>
  <sheetData>
    <row r="1" spans="1:9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9" ht="12.75" customHeight="1">
      <c r="A2" s="2">
        <v>1</v>
      </c>
      <c r="B2" s="2" t="s">
        <v>7</v>
      </c>
      <c r="C2" s="2">
        <v>60.5</v>
      </c>
      <c r="D2" s="2">
        <v>51.4</v>
      </c>
      <c r="E2" s="2" t="s">
        <v>8</v>
      </c>
      <c r="F2" s="2">
        <v>6</v>
      </c>
      <c r="G2" s="2" t="s">
        <v>9</v>
      </c>
    </row>
    <row r="3" spans="1:9" ht="12.75" customHeight="1">
      <c r="A3" s="2">
        <v>2</v>
      </c>
      <c r="B3" s="2" t="s">
        <v>7</v>
      </c>
      <c r="C3" s="2">
        <v>55</v>
      </c>
      <c r="D3" s="2">
        <v>51.3</v>
      </c>
      <c r="E3" s="2" t="s">
        <v>8</v>
      </c>
      <c r="F3" s="2">
        <v>3</v>
      </c>
      <c r="G3" s="2" t="s">
        <v>10</v>
      </c>
    </row>
    <row r="4" spans="1:9" ht="12.75" customHeight="1">
      <c r="A4" s="2">
        <v>5</v>
      </c>
      <c r="B4" s="2" t="s">
        <v>7</v>
      </c>
      <c r="C4" s="2">
        <v>55</v>
      </c>
      <c r="D4" s="2">
        <v>52</v>
      </c>
      <c r="E4" s="2" t="s">
        <v>8</v>
      </c>
      <c r="F4" s="2">
        <v>4</v>
      </c>
      <c r="G4" s="2" t="s">
        <v>10</v>
      </c>
    </row>
    <row r="5" spans="1:9" ht="12.75" customHeight="1">
      <c r="A5" s="2">
        <v>7</v>
      </c>
      <c r="B5" s="2" t="s">
        <v>7</v>
      </c>
      <c r="C5" s="2">
        <v>58</v>
      </c>
      <c r="D5" s="2">
        <v>47</v>
      </c>
      <c r="E5" s="2" t="s">
        <v>8</v>
      </c>
      <c r="F5" s="2">
        <v>7</v>
      </c>
      <c r="G5" s="2" t="s">
        <v>9</v>
      </c>
    </row>
    <row r="6" spans="1:9" ht="12.75" customHeight="1">
      <c r="A6" s="2">
        <v>8</v>
      </c>
      <c r="B6" s="2" t="s">
        <v>7</v>
      </c>
      <c r="C6" s="2">
        <v>47</v>
      </c>
      <c r="D6" s="2">
        <v>50.5</v>
      </c>
      <c r="E6" s="2" t="s">
        <v>12</v>
      </c>
      <c r="F6" s="2">
        <v>2</v>
      </c>
      <c r="G6" s="2" t="s">
        <v>11</v>
      </c>
      <c r="I6" t="s">
        <v>22</v>
      </c>
    </row>
    <row r="7" spans="1:9" ht="12.75" customHeight="1">
      <c r="A7" s="2">
        <v>9</v>
      </c>
      <c r="B7" s="2" t="s">
        <v>7</v>
      </c>
      <c r="C7" s="2">
        <v>57.8</v>
      </c>
      <c r="D7" s="2">
        <v>55.8</v>
      </c>
      <c r="E7" s="2" t="s">
        <v>8</v>
      </c>
      <c r="F7" s="2">
        <v>3</v>
      </c>
      <c r="G7" s="2" t="s">
        <v>10</v>
      </c>
      <c r="I7">
        <f>AVERAGE(F1:F55)</f>
        <v>4.8518518518518521</v>
      </c>
    </row>
    <row r="8" spans="1:9" ht="12.75" customHeight="1">
      <c r="A8" s="2">
        <v>10</v>
      </c>
      <c r="B8" s="2" t="s">
        <v>7</v>
      </c>
      <c r="C8" s="2">
        <v>58</v>
      </c>
      <c r="D8" s="2">
        <v>52.8</v>
      </c>
      <c r="E8" s="2" t="s">
        <v>8</v>
      </c>
      <c r="F8" s="2">
        <v>12</v>
      </c>
      <c r="G8" s="2" t="s">
        <v>9</v>
      </c>
    </row>
    <row r="9" spans="1:9" ht="12.75" customHeight="1">
      <c r="A9" s="2">
        <v>11</v>
      </c>
      <c r="B9" s="2" t="s">
        <v>7</v>
      </c>
      <c r="C9" s="2">
        <v>70</v>
      </c>
      <c r="D9" s="2">
        <v>52.5</v>
      </c>
      <c r="E9" s="2" t="s">
        <v>12</v>
      </c>
      <c r="F9" s="2">
        <v>10</v>
      </c>
      <c r="G9" s="2" t="s">
        <v>9</v>
      </c>
    </row>
    <row r="10" spans="1:9" ht="12.75" customHeight="1">
      <c r="A10" s="2">
        <v>12</v>
      </c>
      <c r="B10" s="2" t="s">
        <v>7</v>
      </c>
      <c r="C10" s="2">
        <v>54</v>
      </c>
      <c r="D10" s="2">
        <v>51.6</v>
      </c>
      <c r="E10" s="2" t="s">
        <v>8</v>
      </c>
      <c r="F10" s="2">
        <v>5</v>
      </c>
      <c r="G10" s="2" t="s">
        <v>10</v>
      </c>
    </row>
    <row r="11" spans="1:9" ht="12.75" customHeight="1">
      <c r="A11" s="2">
        <v>13</v>
      </c>
      <c r="B11" s="2" t="s">
        <v>7</v>
      </c>
      <c r="C11" s="2">
        <v>58</v>
      </c>
      <c r="D11" s="2">
        <v>50.7</v>
      </c>
      <c r="E11" s="2" t="s">
        <v>8</v>
      </c>
      <c r="F11" s="2">
        <v>9</v>
      </c>
      <c r="G11" s="2" t="s">
        <v>9</v>
      </c>
    </row>
    <row r="12" spans="1:9" ht="12.75" customHeight="1">
      <c r="A12" s="2">
        <v>15</v>
      </c>
      <c r="B12" s="2" t="s">
        <v>7</v>
      </c>
      <c r="C12" s="2">
        <v>63.5</v>
      </c>
      <c r="D12" s="2">
        <v>52.8</v>
      </c>
      <c r="E12" s="2" t="s">
        <v>8</v>
      </c>
      <c r="F12" s="2">
        <v>8</v>
      </c>
      <c r="G12" s="2" t="s">
        <v>9</v>
      </c>
    </row>
    <row r="13" spans="1:9" ht="12.75" customHeight="1">
      <c r="A13" s="2">
        <v>16</v>
      </c>
      <c r="B13" s="2" t="s">
        <v>7</v>
      </c>
      <c r="C13" s="2">
        <v>47.4</v>
      </c>
      <c r="D13" s="2">
        <v>52.8</v>
      </c>
      <c r="E13" s="2" t="s">
        <v>8</v>
      </c>
      <c r="F13" s="2">
        <v>0</v>
      </c>
      <c r="G13" s="2" t="s">
        <v>11</v>
      </c>
    </row>
    <row r="14" spans="1:9" ht="12.75" customHeight="1">
      <c r="A14" s="2">
        <v>17</v>
      </c>
      <c r="B14" s="2" t="s">
        <v>7</v>
      </c>
      <c r="C14" s="2">
        <v>66</v>
      </c>
      <c r="D14" s="2">
        <v>52.7</v>
      </c>
      <c r="E14" s="2" t="s">
        <v>8</v>
      </c>
      <c r="F14" s="2">
        <v>10</v>
      </c>
      <c r="G14" s="2" t="s">
        <v>9</v>
      </c>
    </row>
    <row r="15" spans="1:9" ht="12.75" customHeight="1">
      <c r="A15" s="2">
        <v>19</v>
      </c>
      <c r="B15" s="2" t="s">
        <v>7</v>
      </c>
      <c r="C15" s="2">
        <v>54.5</v>
      </c>
      <c r="D15" s="2">
        <v>50.6</v>
      </c>
      <c r="E15" s="2" t="s">
        <v>8</v>
      </c>
      <c r="F15" s="2">
        <v>3</v>
      </c>
      <c r="G15" s="2" t="s">
        <v>10</v>
      </c>
    </row>
    <row r="16" spans="1:9" ht="12.75" customHeight="1">
      <c r="A16" s="2">
        <v>20</v>
      </c>
      <c r="B16" s="2" t="s">
        <v>7</v>
      </c>
      <c r="C16" s="2">
        <v>52.5</v>
      </c>
      <c r="D16" s="2">
        <v>52.7</v>
      </c>
      <c r="E16" s="2" t="s">
        <v>8</v>
      </c>
      <c r="F16" s="2">
        <v>1</v>
      </c>
      <c r="G16" s="2" t="s">
        <v>11</v>
      </c>
    </row>
    <row r="17" spans="1:7" ht="12.75" customHeight="1">
      <c r="A17" s="2">
        <v>21</v>
      </c>
      <c r="B17" s="2" t="s">
        <v>7</v>
      </c>
      <c r="C17" s="2">
        <v>60</v>
      </c>
      <c r="D17" s="2">
        <v>51.5</v>
      </c>
      <c r="E17" s="2" t="s">
        <v>8</v>
      </c>
      <c r="F17" s="2">
        <v>8</v>
      </c>
      <c r="G17" s="2" t="s">
        <v>9</v>
      </c>
    </row>
    <row r="18" spans="1:7" ht="12.75" customHeight="1">
      <c r="A18" s="2">
        <v>22</v>
      </c>
      <c r="B18" s="2" t="s">
        <v>7</v>
      </c>
      <c r="C18" s="2">
        <v>58.5</v>
      </c>
      <c r="D18" s="2">
        <v>53.5</v>
      </c>
      <c r="E18" s="2" t="s">
        <v>8</v>
      </c>
      <c r="F18" s="2">
        <v>6</v>
      </c>
      <c r="G18" s="2" t="s">
        <v>10</v>
      </c>
    </row>
    <row r="19" spans="1:7" ht="12.75" customHeight="1">
      <c r="A19" s="2">
        <v>23</v>
      </c>
      <c r="B19" s="2" t="s">
        <v>7</v>
      </c>
      <c r="C19" s="2">
        <v>49.2</v>
      </c>
      <c r="D19" s="2">
        <v>48</v>
      </c>
      <c r="E19" s="2" t="s">
        <v>12</v>
      </c>
      <c r="F19" s="2">
        <v>5</v>
      </c>
      <c r="G19" s="2" t="s">
        <v>10</v>
      </c>
    </row>
    <row r="20" spans="1:7" ht="12.75" customHeight="1">
      <c r="A20" s="2">
        <v>24</v>
      </c>
      <c r="B20" s="2" t="s">
        <v>7</v>
      </c>
      <c r="C20" s="2">
        <v>48</v>
      </c>
      <c r="D20" s="2">
        <v>49.7</v>
      </c>
      <c r="E20" s="2" t="s">
        <v>12</v>
      </c>
      <c r="F20" s="2">
        <v>3</v>
      </c>
      <c r="G20" s="2" t="s">
        <v>11</v>
      </c>
    </row>
    <row r="21" spans="1:7" ht="12.75" customHeight="1">
      <c r="A21" s="2">
        <v>25</v>
      </c>
      <c r="B21" s="2" t="s">
        <v>7</v>
      </c>
      <c r="C21" s="2">
        <v>51.6</v>
      </c>
      <c r="D21" s="2">
        <v>48.9</v>
      </c>
      <c r="E21" s="2" t="s">
        <v>8</v>
      </c>
      <c r="F21" s="2">
        <v>5</v>
      </c>
      <c r="G21" s="2" t="s">
        <v>10</v>
      </c>
    </row>
    <row r="22" spans="1:7" ht="12.75" customHeight="1">
      <c r="A22" s="2">
        <v>26</v>
      </c>
      <c r="B22" s="2" t="s">
        <v>7</v>
      </c>
      <c r="C22" s="2">
        <v>57</v>
      </c>
      <c r="D22" s="2">
        <v>53.6</v>
      </c>
      <c r="E22" s="2" t="s">
        <v>8</v>
      </c>
      <c r="F22" s="2">
        <v>6</v>
      </c>
      <c r="G22" s="2" t="s">
        <v>10</v>
      </c>
    </row>
    <row r="23" spans="1:7" ht="12.75" customHeight="1">
      <c r="A23" s="2">
        <v>27</v>
      </c>
      <c r="B23" s="2" t="s">
        <v>7</v>
      </c>
      <c r="C23" s="2">
        <v>63</v>
      </c>
      <c r="D23" s="2">
        <v>55.9</v>
      </c>
      <c r="E23" s="2" t="s">
        <v>8</v>
      </c>
      <c r="F23" s="2">
        <v>8</v>
      </c>
      <c r="G23" s="2" t="s">
        <v>9</v>
      </c>
    </row>
    <row r="24" spans="1:7" ht="12.75" customHeight="1">
      <c r="A24" s="2">
        <v>28</v>
      </c>
      <c r="B24" s="2" t="s">
        <v>7</v>
      </c>
      <c r="C24" s="2">
        <v>52</v>
      </c>
      <c r="D24" s="2">
        <v>49.6</v>
      </c>
      <c r="E24" s="2" t="s">
        <v>8</v>
      </c>
      <c r="F24" s="2">
        <v>1</v>
      </c>
      <c r="G24" s="2" t="s">
        <v>10</v>
      </c>
    </row>
    <row r="25" spans="1:7" ht="12.75" customHeight="1">
      <c r="A25" s="2">
        <v>29</v>
      </c>
      <c r="B25" s="2" t="s">
        <v>7</v>
      </c>
      <c r="C25" s="2">
        <v>49</v>
      </c>
      <c r="D25" s="2">
        <v>51.3</v>
      </c>
      <c r="E25" s="2" t="s">
        <v>8</v>
      </c>
      <c r="F25" s="2">
        <v>3</v>
      </c>
      <c r="G25" s="2" t="s">
        <v>11</v>
      </c>
    </row>
    <row r="26" spans="1:7" ht="12.75" customHeight="1">
      <c r="A26" s="2">
        <v>30</v>
      </c>
      <c r="B26" s="2" t="s">
        <v>7</v>
      </c>
      <c r="C26" s="2">
        <v>59</v>
      </c>
      <c r="D26" s="2">
        <v>45.8</v>
      </c>
      <c r="E26" s="2" t="s">
        <v>8</v>
      </c>
      <c r="F26" s="2">
        <v>1</v>
      </c>
      <c r="G26" s="2" t="s">
        <v>9</v>
      </c>
    </row>
    <row r="27" spans="1:7" ht="12.75" customHeight="1">
      <c r="A27" s="2">
        <v>31</v>
      </c>
      <c r="B27" s="2" t="s">
        <v>7</v>
      </c>
      <c r="C27" s="2">
        <v>52</v>
      </c>
      <c r="D27" s="2">
        <v>49.2</v>
      </c>
      <c r="E27" s="2" t="s">
        <v>8</v>
      </c>
      <c r="F27" s="2">
        <v>2</v>
      </c>
      <c r="G27" s="2" t="s">
        <v>10</v>
      </c>
    </row>
    <row r="28" spans="1:7" ht="12.75" customHeight="1">
      <c r="A28" s="2">
        <v>33</v>
      </c>
      <c r="B28" s="2" t="s">
        <v>7</v>
      </c>
      <c r="C28" s="2">
        <v>56</v>
      </c>
      <c r="D28" s="2">
        <v>50.4</v>
      </c>
      <c r="E28" s="2" t="s">
        <v>8</v>
      </c>
      <c r="F28" s="2">
        <v>2</v>
      </c>
      <c r="G28" s="2" t="s">
        <v>9</v>
      </c>
    </row>
    <row r="29" spans="1:7" ht="12.75" customHeight="1">
      <c r="A29" s="2">
        <v>34</v>
      </c>
      <c r="B29" s="2" t="s">
        <v>7</v>
      </c>
      <c r="C29" s="2">
        <v>58</v>
      </c>
      <c r="D29" s="2">
        <v>49.9</v>
      </c>
      <c r="E29" s="2" t="s">
        <v>8</v>
      </c>
      <c r="F29" s="2">
        <v>4</v>
      </c>
      <c r="G29" s="2" t="s">
        <v>9</v>
      </c>
    </row>
    <row r="30" spans="1:7" ht="12.75" customHeight="1">
      <c r="A30" s="2">
        <v>36</v>
      </c>
      <c r="B30" s="2" t="s">
        <v>7</v>
      </c>
      <c r="C30" s="2">
        <v>47</v>
      </c>
      <c r="D30" s="2">
        <v>50.9</v>
      </c>
      <c r="E30" s="2" t="s">
        <v>8</v>
      </c>
      <c r="F30" s="2">
        <v>5</v>
      </c>
      <c r="G30" s="2" t="s">
        <v>11</v>
      </c>
    </row>
    <row r="31" spans="1:7" ht="12.75" customHeight="1">
      <c r="A31" s="2">
        <v>39</v>
      </c>
      <c r="B31" s="2" t="s">
        <v>7</v>
      </c>
      <c r="C31" s="2">
        <v>60</v>
      </c>
      <c r="D31" s="2">
        <v>50.1</v>
      </c>
      <c r="E31" s="2" t="s">
        <v>8</v>
      </c>
      <c r="F31" s="2">
        <v>5</v>
      </c>
      <c r="G31" s="2" t="s">
        <v>9</v>
      </c>
    </row>
    <row r="32" spans="1:7" ht="12.75" customHeight="1">
      <c r="A32" s="2">
        <v>41</v>
      </c>
      <c r="B32" s="2" t="s">
        <v>7</v>
      </c>
      <c r="C32" s="2">
        <v>55</v>
      </c>
      <c r="D32" s="2">
        <v>50.2</v>
      </c>
      <c r="E32" s="2" t="s">
        <v>8</v>
      </c>
      <c r="F32" s="2">
        <v>5</v>
      </c>
      <c r="G32" s="2" t="s">
        <v>10</v>
      </c>
    </row>
    <row r="33" spans="1:7" ht="12.75" customHeight="1">
      <c r="A33" s="2">
        <v>42</v>
      </c>
      <c r="B33" s="2" t="s">
        <v>7</v>
      </c>
      <c r="C33" s="2">
        <v>44</v>
      </c>
      <c r="D33" s="2">
        <v>52.2</v>
      </c>
      <c r="E33" s="2" t="s">
        <v>8</v>
      </c>
      <c r="F33" s="2">
        <v>2</v>
      </c>
      <c r="G33" s="2" t="s">
        <v>11</v>
      </c>
    </row>
    <row r="34" spans="1:7" ht="12.75" customHeight="1">
      <c r="A34" s="2">
        <v>44</v>
      </c>
      <c r="B34" s="2" t="s">
        <v>7</v>
      </c>
      <c r="C34" s="2">
        <v>55</v>
      </c>
      <c r="D34" s="2">
        <v>50.9</v>
      </c>
      <c r="E34" s="2" t="s">
        <v>8</v>
      </c>
      <c r="F34" s="2">
        <v>5</v>
      </c>
      <c r="G34" s="2" t="s">
        <v>10</v>
      </c>
    </row>
    <row r="35" spans="1:7" ht="12.75" customHeight="1">
      <c r="A35" s="2">
        <v>45</v>
      </c>
      <c r="B35" s="2" t="s">
        <v>13</v>
      </c>
      <c r="C35" s="2">
        <v>67</v>
      </c>
      <c r="D35" s="2">
        <v>65</v>
      </c>
      <c r="E35" s="2" t="s">
        <v>8</v>
      </c>
      <c r="F35" s="2">
        <v>0</v>
      </c>
      <c r="G35" s="2" t="s">
        <v>10</v>
      </c>
    </row>
    <row r="36" spans="1:7" ht="12.75" customHeight="1">
      <c r="A36" s="2">
        <v>46</v>
      </c>
      <c r="B36" s="2" t="s">
        <v>13</v>
      </c>
      <c r="C36" s="2">
        <v>60</v>
      </c>
      <c r="D36" s="2">
        <v>60</v>
      </c>
      <c r="E36" s="2" t="s">
        <v>8</v>
      </c>
      <c r="F36" s="2">
        <v>0</v>
      </c>
      <c r="G36" s="2" t="s">
        <v>11</v>
      </c>
    </row>
    <row r="37" spans="1:7" ht="12.75" customHeight="1">
      <c r="A37" s="2">
        <v>47</v>
      </c>
      <c r="B37" s="2" t="s">
        <v>13</v>
      </c>
      <c r="C37" s="2">
        <v>72</v>
      </c>
      <c r="D37" s="2">
        <v>71</v>
      </c>
      <c r="E37" s="2" t="s">
        <v>8</v>
      </c>
      <c r="F37" s="2">
        <v>4</v>
      </c>
      <c r="G37" s="2" t="s">
        <v>11</v>
      </c>
    </row>
    <row r="38" spans="1:7" ht="12.75" customHeight="1">
      <c r="A38" s="2">
        <v>48</v>
      </c>
      <c r="B38" s="2" t="s">
        <v>13</v>
      </c>
      <c r="C38" s="2">
        <v>55</v>
      </c>
      <c r="D38" s="2">
        <v>56</v>
      </c>
      <c r="E38" s="2" t="s">
        <v>8</v>
      </c>
      <c r="F38" s="2">
        <v>2</v>
      </c>
      <c r="G38" s="2" t="s">
        <v>11</v>
      </c>
    </row>
    <row r="39" spans="1:7" ht="12.75" customHeight="1">
      <c r="A39" s="2">
        <v>3</v>
      </c>
      <c r="B39" s="2" t="s">
        <v>13</v>
      </c>
      <c r="C39" s="2">
        <v>72.8</v>
      </c>
      <c r="D39" s="2">
        <v>70</v>
      </c>
      <c r="E39" s="2" t="s">
        <v>8</v>
      </c>
      <c r="F39" s="2">
        <v>5</v>
      </c>
      <c r="G39" s="2" t="s">
        <v>10</v>
      </c>
    </row>
    <row r="40" spans="1:7" ht="12.75" customHeight="1">
      <c r="A40" s="2">
        <v>4</v>
      </c>
      <c r="B40" s="2" t="s">
        <v>13</v>
      </c>
      <c r="C40" s="2">
        <v>80.900000000000006</v>
      </c>
      <c r="D40" s="2">
        <v>78.599999999999994</v>
      </c>
      <c r="E40" s="2" t="s">
        <v>8</v>
      </c>
      <c r="F40" s="2">
        <v>5</v>
      </c>
      <c r="G40" s="2" t="s">
        <v>10</v>
      </c>
    </row>
    <row r="41" spans="1:7" ht="12.75" customHeight="1">
      <c r="A41" s="2">
        <v>6</v>
      </c>
      <c r="B41" s="2" t="s">
        <v>13</v>
      </c>
      <c r="C41" s="2">
        <v>60</v>
      </c>
      <c r="D41" s="2">
        <v>58.7</v>
      </c>
      <c r="E41" s="2" t="s">
        <v>8</v>
      </c>
      <c r="F41" s="2">
        <v>2</v>
      </c>
      <c r="G41" s="2" t="s">
        <v>10</v>
      </c>
    </row>
    <row r="42" spans="1:7" ht="12.75" customHeight="1">
      <c r="A42" s="2">
        <v>14</v>
      </c>
      <c r="B42" s="2" t="s">
        <v>13</v>
      </c>
      <c r="C42" s="2">
        <v>68.5</v>
      </c>
      <c r="D42" s="2">
        <v>65</v>
      </c>
      <c r="E42" s="2" t="s">
        <v>12</v>
      </c>
      <c r="F42" s="2">
        <v>5</v>
      </c>
      <c r="G42" s="2" t="s">
        <v>10</v>
      </c>
    </row>
    <row r="43" spans="1:7" ht="12.75" customHeight="1">
      <c r="A43" s="2">
        <v>18</v>
      </c>
      <c r="B43" s="2" t="s">
        <v>13</v>
      </c>
      <c r="C43" s="2">
        <v>85.2</v>
      </c>
      <c r="D43" s="2">
        <v>79.2</v>
      </c>
      <c r="E43" s="2" t="s">
        <v>8</v>
      </c>
      <c r="F43" s="2">
        <v>3</v>
      </c>
      <c r="G43" s="2" t="s">
        <v>9</v>
      </c>
    </row>
    <row r="44" spans="1:7" ht="12.75" customHeight="1">
      <c r="A44" s="2">
        <v>32</v>
      </c>
      <c r="B44" s="2" t="s">
        <v>13</v>
      </c>
      <c r="C44" s="2">
        <v>73</v>
      </c>
      <c r="D44" s="2">
        <v>70</v>
      </c>
      <c r="E44" s="2" t="s">
        <v>8</v>
      </c>
      <c r="F44" s="2">
        <v>1</v>
      </c>
      <c r="G44" s="2" t="s">
        <v>10</v>
      </c>
    </row>
    <row r="45" spans="1:7" ht="12.75" customHeight="1">
      <c r="A45" s="2">
        <v>35</v>
      </c>
      <c r="B45" s="2" t="s">
        <v>13</v>
      </c>
      <c r="C45" s="2">
        <v>87</v>
      </c>
      <c r="D45" s="2">
        <v>86.1</v>
      </c>
      <c r="E45" s="2" t="s">
        <v>8</v>
      </c>
      <c r="F45" s="2">
        <v>7</v>
      </c>
      <c r="G45" s="2" t="s">
        <v>11</v>
      </c>
    </row>
    <row r="46" spans="1:7" ht="12.75" customHeight="1">
      <c r="A46" s="2">
        <v>37</v>
      </c>
      <c r="B46" s="2" t="s">
        <v>13</v>
      </c>
      <c r="C46" s="2">
        <v>95</v>
      </c>
      <c r="D46" s="2">
        <v>88.6</v>
      </c>
      <c r="E46" s="2" t="s">
        <v>8</v>
      </c>
      <c r="F46" s="2">
        <v>10</v>
      </c>
      <c r="G46" s="2" t="s">
        <v>9</v>
      </c>
    </row>
    <row r="47" spans="1:7" ht="12.75" customHeight="1">
      <c r="A47" s="2">
        <v>38</v>
      </c>
      <c r="B47" s="2" t="s">
        <v>13</v>
      </c>
      <c r="C47" s="2">
        <v>84</v>
      </c>
      <c r="D47" s="2">
        <v>83</v>
      </c>
      <c r="E47" s="2" t="s">
        <v>12</v>
      </c>
      <c r="F47" s="2">
        <v>6</v>
      </c>
      <c r="G47" s="2" t="s">
        <v>11</v>
      </c>
    </row>
    <row r="48" spans="1:7" ht="12.75" customHeight="1">
      <c r="A48" s="2">
        <v>40</v>
      </c>
      <c r="B48" s="2" t="s">
        <v>13</v>
      </c>
      <c r="C48" s="2">
        <v>73</v>
      </c>
      <c r="D48" s="2">
        <v>72</v>
      </c>
      <c r="E48" s="2" t="s">
        <v>8</v>
      </c>
      <c r="F48" s="2">
        <v>4</v>
      </c>
      <c r="G48" s="2" t="s">
        <v>11</v>
      </c>
    </row>
    <row r="49" spans="1:7" ht="12.75" customHeight="1">
      <c r="A49" s="2">
        <v>43</v>
      </c>
      <c r="B49" s="2" t="s">
        <v>13</v>
      </c>
      <c r="C49" s="2">
        <v>75</v>
      </c>
      <c r="D49" s="2">
        <v>72.7</v>
      </c>
      <c r="E49" s="2" t="s">
        <v>8</v>
      </c>
      <c r="F49" s="2">
        <v>7</v>
      </c>
      <c r="G49" s="2" t="s">
        <v>10</v>
      </c>
    </row>
    <row r="50" spans="1:7" ht="12.75" customHeight="1">
      <c r="A50" s="2">
        <v>49</v>
      </c>
      <c r="B50" s="2" t="s">
        <v>13</v>
      </c>
      <c r="C50" s="2">
        <v>71</v>
      </c>
      <c r="D50" s="2">
        <v>71.400000000000006</v>
      </c>
      <c r="E50" s="2" t="s">
        <v>8</v>
      </c>
      <c r="F50" s="2">
        <v>7</v>
      </c>
      <c r="G50" s="2" t="s">
        <v>11</v>
      </c>
    </row>
    <row r="51" spans="1:7" ht="12.75" customHeight="1">
      <c r="A51" s="2">
        <v>50</v>
      </c>
      <c r="B51" s="2" t="s">
        <v>13</v>
      </c>
      <c r="C51" s="2">
        <v>86</v>
      </c>
      <c r="D51" s="2">
        <v>78</v>
      </c>
      <c r="E51" s="2" t="s">
        <v>8</v>
      </c>
      <c r="F51" s="2">
        <v>7</v>
      </c>
      <c r="G51" s="2" t="s">
        <v>9</v>
      </c>
    </row>
    <row r="52" spans="1:7" ht="12.75" customHeight="1">
      <c r="A52" s="2">
        <v>51</v>
      </c>
      <c r="B52" s="2" t="s">
        <v>7</v>
      </c>
      <c r="C52" s="2">
        <v>58</v>
      </c>
      <c r="D52" s="2">
        <v>52.8</v>
      </c>
      <c r="E52" s="2" t="s">
        <v>8</v>
      </c>
      <c r="F52" s="2">
        <v>12</v>
      </c>
      <c r="G52" s="2" t="s">
        <v>9</v>
      </c>
    </row>
    <row r="53" spans="1:7" ht="12.75" customHeight="1">
      <c r="A53" s="2">
        <v>52</v>
      </c>
      <c r="B53" s="2" t="s">
        <v>7</v>
      </c>
      <c r="C53" s="2">
        <v>70</v>
      </c>
      <c r="D53" s="2">
        <v>52.5</v>
      </c>
      <c r="E53" s="2" t="s">
        <v>12</v>
      </c>
      <c r="F53" s="2">
        <v>10</v>
      </c>
      <c r="G53" s="2" t="s">
        <v>9</v>
      </c>
    </row>
    <row r="54" spans="1:7" ht="12.75" customHeight="1">
      <c r="A54" s="2">
        <v>53</v>
      </c>
      <c r="B54" s="2" t="s">
        <v>7</v>
      </c>
      <c r="C54" s="2">
        <v>56</v>
      </c>
      <c r="D54" s="2">
        <v>50.4</v>
      </c>
      <c r="E54" s="2" t="s">
        <v>8</v>
      </c>
      <c r="F54" s="2">
        <v>2</v>
      </c>
      <c r="G54" s="2" t="s">
        <v>9</v>
      </c>
    </row>
    <row r="55" spans="1:7" ht="12.75" customHeight="1">
      <c r="A55" s="2">
        <v>54</v>
      </c>
      <c r="B55" s="2" t="s">
        <v>7</v>
      </c>
      <c r="C55" s="2">
        <v>58</v>
      </c>
      <c r="D55" s="2">
        <v>49.9</v>
      </c>
      <c r="E55" s="2" t="s">
        <v>8</v>
      </c>
      <c r="F55" s="2">
        <v>4</v>
      </c>
      <c r="G55" s="2" t="s">
        <v>9</v>
      </c>
    </row>
    <row r="56" spans="1:7" ht="12.75" customHeight="1"/>
    <row r="57" spans="1:7" ht="12.75" customHeight="1">
      <c r="B57" s="2"/>
    </row>
    <row r="58" spans="1:7" ht="12.75" customHeight="1">
      <c r="B58" s="2"/>
    </row>
    <row r="59" spans="1:7" ht="12.75" customHeight="1">
      <c r="B59" s="2"/>
    </row>
    <row r="60" spans="1:7" ht="12.75" customHeight="1"/>
    <row r="61" spans="1:7" ht="12.75" customHeight="1"/>
    <row r="62" spans="1:7" ht="12.75" customHeight="1"/>
    <row r="63" spans="1:7" ht="12.75" customHeight="1"/>
    <row r="64" spans="1:7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38" workbookViewId="0">
      <selection activeCell="C57" sqref="C57"/>
    </sheetView>
  </sheetViews>
  <sheetFormatPr defaultRowHeight="12.7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>
        <v>60.5</v>
      </c>
      <c r="D2" s="2">
        <v>51.4</v>
      </c>
      <c r="E2" s="2" t="s">
        <v>8</v>
      </c>
      <c r="F2" s="2">
        <v>6</v>
      </c>
      <c r="G2" s="2" t="s">
        <v>9</v>
      </c>
    </row>
    <row r="3" spans="1:7">
      <c r="A3" s="2">
        <v>2</v>
      </c>
      <c r="B3" s="2" t="s">
        <v>7</v>
      </c>
      <c r="C3" s="2">
        <v>55</v>
      </c>
      <c r="D3" s="2">
        <v>51.3</v>
      </c>
      <c r="E3" s="2" t="s">
        <v>8</v>
      </c>
      <c r="F3" s="2">
        <v>3</v>
      </c>
      <c r="G3" s="2" t="s">
        <v>10</v>
      </c>
    </row>
    <row r="4" spans="1:7">
      <c r="A4" s="2">
        <v>5</v>
      </c>
      <c r="B4" s="2" t="s">
        <v>7</v>
      </c>
      <c r="C4" s="2">
        <v>55</v>
      </c>
      <c r="D4" s="2">
        <v>52</v>
      </c>
      <c r="E4" s="2" t="s">
        <v>8</v>
      </c>
      <c r="F4" s="2">
        <v>4</v>
      </c>
      <c r="G4" s="2" t="s">
        <v>10</v>
      </c>
    </row>
    <row r="5" spans="1:7">
      <c r="A5" s="2">
        <v>7</v>
      </c>
      <c r="B5" s="2" t="s">
        <v>7</v>
      </c>
      <c r="C5" s="2">
        <v>58</v>
      </c>
      <c r="D5" s="2">
        <v>47</v>
      </c>
      <c r="E5" s="2" t="s">
        <v>8</v>
      </c>
      <c r="F5" s="2">
        <v>7</v>
      </c>
      <c r="G5" s="2" t="s">
        <v>9</v>
      </c>
    </row>
    <row r="6" spans="1:7">
      <c r="A6" s="2">
        <v>8</v>
      </c>
      <c r="B6" s="2" t="s">
        <v>7</v>
      </c>
      <c r="C6" s="2">
        <v>47</v>
      </c>
      <c r="D6" s="2">
        <v>50.5</v>
      </c>
      <c r="E6" s="2" t="s">
        <v>12</v>
      </c>
      <c r="F6" s="2">
        <v>2</v>
      </c>
      <c r="G6" s="2" t="s">
        <v>11</v>
      </c>
    </row>
    <row r="7" spans="1:7">
      <c r="A7" s="2">
        <v>9</v>
      </c>
      <c r="B7" s="2" t="s">
        <v>7</v>
      </c>
      <c r="C7" s="2">
        <v>57.8</v>
      </c>
      <c r="D7" s="2">
        <v>55.8</v>
      </c>
      <c r="E7" s="2" t="s">
        <v>8</v>
      </c>
      <c r="F7" s="2">
        <v>3</v>
      </c>
      <c r="G7" s="2" t="s">
        <v>10</v>
      </c>
    </row>
    <row r="8" spans="1:7">
      <c r="A8" s="2">
        <v>10</v>
      </c>
      <c r="B8" s="2" t="s">
        <v>7</v>
      </c>
      <c r="C8" s="2">
        <v>58</v>
      </c>
      <c r="D8" s="2">
        <v>52.8</v>
      </c>
      <c r="E8" s="2" t="s">
        <v>8</v>
      </c>
      <c r="F8" s="2">
        <v>12</v>
      </c>
      <c r="G8" s="2" t="s">
        <v>9</v>
      </c>
    </row>
    <row r="9" spans="1:7">
      <c r="A9" s="2">
        <v>11</v>
      </c>
      <c r="B9" s="2" t="s">
        <v>7</v>
      </c>
      <c r="C9" s="2">
        <v>70</v>
      </c>
      <c r="D9" s="2">
        <v>52.5</v>
      </c>
      <c r="E9" s="2" t="s">
        <v>12</v>
      </c>
      <c r="F9" s="2">
        <v>10</v>
      </c>
      <c r="G9" s="2" t="s">
        <v>9</v>
      </c>
    </row>
    <row r="10" spans="1:7">
      <c r="A10" s="2">
        <v>12</v>
      </c>
      <c r="B10" s="2" t="s">
        <v>7</v>
      </c>
      <c r="C10" s="2">
        <v>54</v>
      </c>
      <c r="D10" s="2">
        <v>51.6</v>
      </c>
      <c r="E10" s="2" t="s">
        <v>8</v>
      </c>
      <c r="F10" s="2">
        <v>5</v>
      </c>
      <c r="G10" s="2" t="s">
        <v>10</v>
      </c>
    </row>
    <row r="11" spans="1:7">
      <c r="A11" s="2">
        <v>13</v>
      </c>
      <c r="B11" s="2" t="s">
        <v>7</v>
      </c>
      <c r="C11" s="2">
        <v>58</v>
      </c>
      <c r="D11" s="2">
        <v>50.7</v>
      </c>
      <c r="E11" s="2" t="s">
        <v>8</v>
      </c>
      <c r="F11" s="2">
        <v>9</v>
      </c>
      <c r="G11" s="2" t="s">
        <v>9</v>
      </c>
    </row>
    <row r="12" spans="1:7">
      <c r="A12" s="2">
        <v>15</v>
      </c>
      <c r="B12" s="2" t="s">
        <v>7</v>
      </c>
      <c r="C12" s="2">
        <v>63.5</v>
      </c>
      <c r="D12" s="2">
        <v>52.8</v>
      </c>
      <c r="E12" s="2" t="s">
        <v>8</v>
      </c>
      <c r="F12" s="2">
        <v>8</v>
      </c>
      <c r="G12" s="2" t="s">
        <v>9</v>
      </c>
    </row>
    <row r="13" spans="1:7">
      <c r="A13" s="2">
        <v>16</v>
      </c>
      <c r="B13" s="2" t="s">
        <v>7</v>
      </c>
      <c r="C13" s="2">
        <v>47.4</v>
      </c>
      <c r="D13" s="2">
        <v>52.8</v>
      </c>
      <c r="E13" s="2" t="s">
        <v>8</v>
      </c>
      <c r="F13" s="2">
        <v>0</v>
      </c>
      <c r="G13" s="2" t="s">
        <v>11</v>
      </c>
    </row>
    <row r="14" spans="1:7">
      <c r="A14" s="2">
        <v>17</v>
      </c>
      <c r="B14" s="2" t="s">
        <v>7</v>
      </c>
      <c r="C14" s="2">
        <v>66</v>
      </c>
      <c r="D14" s="2">
        <v>52.7</v>
      </c>
      <c r="E14" s="2" t="s">
        <v>8</v>
      </c>
      <c r="F14" s="2">
        <v>10</v>
      </c>
      <c r="G14" s="2" t="s">
        <v>9</v>
      </c>
    </row>
    <row r="15" spans="1:7">
      <c r="A15" s="2">
        <v>19</v>
      </c>
      <c r="B15" s="2" t="s">
        <v>7</v>
      </c>
      <c r="C15" s="2">
        <v>54.5</v>
      </c>
      <c r="D15" s="2">
        <v>50.6</v>
      </c>
      <c r="E15" s="2" t="s">
        <v>8</v>
      </c>
      <c r="F15" s="2">
        <v>3</v>
      </c>
      <c r="G15" s="2" t="s">
        <v>10</v>
      </c>
    </row>
    <row r="16" spans="1:7">
      <c r="A16" s="2">
        <v>20</v>
      </c>
      <c r="B16" s="2" t="s">
        <v>7</v>
      </c>
      <c r="C16" s="2">
        <v>52.5</v>
      </c>
      <c r="D16" s="2">
        <v>52.7</v>
      </c>
      <c r="E16" s="2" t="s">
        <v>8</v>
      </c>
      <c r="F16" s="2">
        <v>1</v>
      </c>
      <c r="G16" s="2" t="s">
        <v>11</v>
      </c>
    </row>
    <row r="17" spans="1:7">
      <c r="A17" s="2">
        <v>21</v>
      </c>
      <c r="B17" s="2" t="s">
        <v>7</v>
      </c>
      <c r="C17" s="2">
        <v>60</v>
      </c>
      <c r="D17" s="2">
        <v>51.5</v>
      </c>
      <c r="E17" s="2" t="s">
        <v>8</v>
      </c>
      <c r="F17" s="2">
        <v>8</v>
      </c>
      <c r="G17" s="2" t="s">
        <v>9</v>
      </c>
    </row>
    <row r="18" spans="1:7">
      <c r="A18" s="2">
        <v>22</v>
      </c>
      <c r="B18" s="2" t="s">
        <v>7</v>
      </c>
      <c r="C18" s="2">
        <v>58.5</v>
      </c>
      <c r="D18" s="2">
        <v>53.5</v>
      </c>
      <c r="E18" s="2" t="s">
        <v>8</v>
      </c>
      <c r="F18" s="2">
        <v>6</v>
      </c>
      <c r="G18" s="2" t="s">
        <v>10</v>
      </c>
    </row>
    <row r="19" spans="1:7">
      <c r="A19" s="2">
        <v>23</v>
      </c>
      <c r="B19" s="2" t="s">
        <v>7</v>
      </c>
      <c r="C19" s="2">
        <v>49.2</v>
      </c>
      <c r="D19" s="2">
        <v>48</v>
      </c>
      <c r="E19" s="2" t="s">
        <v>12</v>
      </c>
      <c r="F19" s="2">
        <v>5</v>
      </c>
      <c r="G19" s="2" t="s">
        <v>10</v>
      </c>
    </row>
    <row r="20" spans="1:7">
      <c r="A20" s="2">
        <v>24</v>
      </c>
      <c r="B20" s="2" t="s">
        <v>7</v>
      </c>
      <c r="C20" s="2">
        <v>48</v>
      </c>
      <c r="D20" s="2">
        <v>49.7</v>
      </c>
      <c r="E20" s="2" t="s">
        <v>12</v>
      </c>
      <c r="F20" s="2">
        <v>3</v>
      </c>
      <c r="G20" s="2" t="s">
        <v>11</v>
      </c>
    </row>
    <row r="21" spans="1:7">
      <c r="A21" s="2">
        <v>25</v>
      </c>
      <c r="B21" s="2" t="s">
        <v>7</v>
      </c>
      <c r="C21" s="2">
        <v>51.6</v>
      </c>
      <c r="D21" s="2">
        <v>48.9</v>
      </c>
      <c r="E21" s="2" t="s">
        <v>8</v>
      </c>
      <c r="F21" s="2">
        <v>5</v>
      </c>
      <c r="G21" s="2" t="s">
        <v>10</v>
      </c>
    </row>
    <row r="22" spans="1:7">
      <c r="A22" s="2">
        <v>26</v>
      </c>
      <c r="B22" s="2" t="s">
        <v>7</v>
      </c>
      <c r="C22" s="2">
        <v>57</v>
      </c>
      <c r="D22" s="2">
        <v>53.6</v>
      </c>
      <c r="E22" s="2" t="s">
        <v>8</v>
      </c>
      <c r="F22" s="2">
        <v>6</v>
      </c>
      <c r="G22" s="2" t="s">
        <v>10</v>
      </c>
    </row>
    <row r="23" spans="1:7">
      <c r="A23" s="2">
        <v>27</v>
      </c>
      <c r="B23" s="2" t="s">
        <v>7</v>
      </c>
      <c r="C23" s="2">
        <v>63</v>
      </c>
      <c r="D23" s="2">
        <v>55.9</v>
      </c>
      <c r="E23" s="2" t="s">
        <v>8</v>
      </c>
      <c r="F23" s="2">
        <v>8</v>
      </c>
      <c r="G23" s="2" t="s">
        <v>9</v>
      </c>
    </row>
    <row r="24" spans="1:7">
      <c r="A24" s="2">
        <v>28</v>
      </c>
      <c r="B24" s="2" t="s">
        <v>7</v>
      </c>
      <c r="C24" s="2">
        <v>52</v>
      </c>
      <c r="D24" s="2">
        <v>49.6</v>
      </c>
      <c r="E24" s="2" t="s">
        <v>8</v>
      </c>
      <c r="F24" s="2">
        <v>1</v>
      </c>
      <c r="G24" s="2" t="s">
        <v>10</v>
      </c>
    </row>
    <row r="25" spans="1:7">
      <c r="A25" s="2">
        <v>29</v>
      </c>
      <c r="B25" s="2" t="s">
        <v>7</v>
      </c>
      <c r="C25" s="2">
        <v>49</v>
      </c>
      <c r="D25" s="2">
        <v>51.3</v>
      </c>
      <c r="E25" s="2" t="s">
        <v>8</v>
      </c>
      <c r="F25" s="2">
        <v>3</v>
      </c>
      <c r="G25" s="2" t="s">
        <v>11</v>
      </c>
    </row>
    <row r="26" spans="1:7">
      <c r="A26" s="2">
        <v>30</v>
      </c>
      <c r="B26" s="2" t="s">
        <v>7</v>
      </c>
      <c r="C26" s="2">
        <v>59</v>
      </c>
      <c r="D26" s="2">
        <v>45.8</v>
      </c>
      <c r="E26" s="2" t="s">
        <v>8</v>
      </c>
      <c r="F26" s="2">
        <v>1</v>
      </c>
      <c r="G26" s="2" t="s">
        <v>9</v>
      </c>
    </row>
    <row r="27" spans="1:7">
      <c r="A27" s="2">
        <v>31</v>
      </c>
      <c r="B27" s="2" t="s">
        <v>7</v>
      </c>
      <c r="C27" s="2">
        <v>52</v>
      </c>
      <c r="D27" s="2">
        <v>49.2</v>
      </c>
      <c r="E27" s="2" t="s">
        <v>8</v>
      </c>
      <c r="F27" s="2">
        <v>2</v>
      </c>
      <c r="G27" s="2" t="s">
        <v>10</v>
      </c>
    </row>
    <row r="28" spans="1:7">
      <c r="A28" s="2">
        <v>33</v>
      </c>
      <c r="B28" s="2" t="s">
        <v>7</v>
      </c>
      <c r="C28" s="2">
        <v>56</v>
      </c>
      <c r="D28" s="2">
        <v>50.4</v>
      </c>
      <c r="E28" s="2" t="s">
        <v>8</v>
      </c>
      <c r="F28" s="2">
        <v>2</v>
      </c>
      <c r="G28" s="2" t="s">
        <v>9</v>
      </c>
    </row>
    <row r="29" spans="1:7">
      <c r="A29" s="2">
        <v>34</v>
      </c>
      <c r="B29" s="2" t="s">
        <v>7</v>
      </c>
      <c r="C29" s="2">
        <v>58</v>
      </c>
      <c r="D29" s="2">
        <v>49.9</v>
      </c>
      <c r="E29" s="2" t="s">
        <v>8</v>
      </c>
      <c r="F29" s="2">
        <v>4</v>
      </c>
      <c r="G29" s="2" t="s">
        <v>9</v>
      </c>
    </row>
    <row r="30" spans="1:7">
      <c r="A30" s="2">
        <v>36</v>
      </c>
      <c r="B30" s="2" t="s">
        <v>7</v>
      </c>
      <c r="C30" s="2">
        <v>47</v>
      </c>
      <c r="D30" s="2">
        <v>50.9</v>
      </c>
      <c r="E30" s="2" t="s">
        <v>8</v>
      </c>
      <c r="F30" s="2">
        <v>5</v>
      </c>
      <c r="G30" s="2" t="s">
        <v>11</v>
      </c>
    </row>
    <row r="31" spans="1:7">
      <c r="A31" s="2">
        <v>39</v>
      </c>
      <c r="B31" s="2" t="s">
        <v>7</v>
      </c>
      <c r="C31" s="2">
        <v>60</v>
      </c>
      <c r="D31" s="2">
        <v>50.1</v>
      </c>
      <c r="E31" s="2" t="s">
        <v>8</v>
      </c>
      <c r="F31" s="2">
        <v>5</v>
      </c>
      <c r="G31" s="2" t="s">
        <v>9</v>
      </c>
    </row>
    <row r="32" spans="1:7">
      <c r="A32" s="2">
        <v>41</v>
      </c>
      <c r="B32" s="2" t="s">
        <v>7</v>
      </c>
      <c r="C32" s="2">
        <v>55</v>
      </c>
      <c r="D32" s="2">
        <v>50.2</v>
      </c>
      <c r="E32" s="2" t="s">
        <v>8</v>
      </c>
      <c r="F32" s="2">
        <v>5</v>
      </c>
      <c r="G32" s="2" t="s">
        <v>10</v>
      </c>
    </row>
    <row r="33" spans="1:7">
      <c r="A33" s="2">
        <v>42</v>
      </c>
      <c r="B33" s="2" t="s">
        <v>7</v>
      </c>
      <c r="C33" s="2">
        <v>44</v>
      </c>
      <c r="D33" s="2">
        <v>52.2</v>
      </c>
      <c r="E33" s="2" t="s">
        <v>8</v>
      </c>
      <c r="F33" s="2">
        <v>2</v>
      </c>
      <c r="G33" s="2" t="s">
        <v>11</v>
      </c>
    </row>
    <row r="34" spans="1:7">
      <c r="A34" s="2">
        <v>44</v>
      </c>
      <c r="B34" s="2" t="s">
        <v>7</v>
      </c>
      <c r="C34" s="2">
        <v>55</v>
      </c>
      <c r="D34" s="2">
        <v>50.9</v>
      </c>
      <c r="E34" s="2" t="s">
        <v>8</v>
      </c>
      <c r="F34" s="2">
        <v>5</v>
      </c>
      <c r="G34" s="2" t="s">
        <v>10</v>
      </c>
    </row>
    <row r="35" spans="1:7">
      <c r="A35" s="2">
        <v>45</v>
      </c>
      <c r="B35" s="2" t="s">
        <v>13</v>
      </c>
      <c r="C35" s="2">
        <v>67</v>
      </c>
      <c r="D35" s="2">
        <v>65</v>
      </c>
      <c r="E35" s="2" t="s">
        <v>8</v>
      </c>
      <c r="F35" s="2">
        <v>0</v>
      </c>
      <c r="G35" s="2" t="s">
        <v>10</v>
      </c>
    </row>
    <row r="36" spans="1:7">
      <c r="A36" s="2">
        <v>46</v>
      </c>
      <c r="B36" s="2" t="s">
        <v>13</v>
      </c>
      <c r="C36" s="2">
        <v>60</v>
      </c>
      <c r="D36" s="2">
        <v>60</v>
      </c>
      <c r="E36" s="2" t="s">
        <v>8</v>
      </c>
      <c r="F36" s="2">
        <v>0</v>
      </c>
      <c r="G36" s="2" t="s">
        <v>11</v>
      </c>
    </row>
    <row r="37" spans="1:7">
      <c r="A37" s="2">
        <v>47</v>
      </c>
      <c r="B37" s="2" t="s">
        <v>13</v>
      </c>
      <c r="C37" s="2">
        <v>72</v>
      </c>
      <c r="D37" s="2">
        <v>71</v>
      </c>
      <c r="E37" s="2" t="s">
        <v>8</v>
      </c>
      <c r="F37" s="2">
        <v>4</v>
      </c>
      <c r="G37" s="2" t="s">
        <v>11</v>
      </c>
    </row>
    <row r="38" spans="1:7">
      <c r="A38" s="2">
        <v>48</v>
      </c>
      <c r="B38" s="2" t="s">
        <v>13</v>
      </c>
      <c r="C38" s="2">
        <v>55</v>
      </c>
      <c r="D38" s="2">
        <v>56</v>
      </c>
      <c r="E38" s="2" t="s">
        <v>8</v>
      </c>
      <c r="F38" s="2">
        <v>2</v>
      </c>
      <c r="G38" s="2" t="s">
        <v>11</v>
      </c>
    </row>
    <row r="39" spans="1:7">
      <c r="A39" s="2">
        <v>3</v>
      </c>
      <c r="B39" s="2" t="s">
        <v>13</v>
      </c>
      <c r="C39" s="2">
        <v>72.8</v>
      </c>
      <c r="D39" s="2">
        <v>70</v>
      </c>
      <c r="E39" s="2" t="s">
        <v>8</v>
      </c>
      <c r="F39" s="2">
        <v>5</v>
      </c>
      <c r="G39" s="2" t="s">
        <v>10</v>
      </c>
    </row>
    <row r="40" spans="1:7">
      <c r="A40" s="2">
        <v>4</v>
      </c>
      <c r="B40" s="2" t="s">
        <v>13</v>
      </c>
      <c r="C40" s="2">
        <v>80.900000000000006</v>
      </c>
      <c r="D40" s="2">
        <v>78.599999999999994</v>
      </c>
      <c r="E40" s="2" t="s">
        <v>8</v>
      </c>
      <c r="F40" s="2">
        <v>5</v>
      </c>
      <c r="G40" s="2" t="s">
        <v>10</v>
      </c>
    </row>
    <row r="41" spans="1:7">
      <c r="A41" s="2">
        <v>6</v>
      </c>
      <c r="B41" s="2" t="s">
        <v>13</v>
      </c>
      <c r="C41" s="2">
        <v>60</v>
      </c>
      <c r="D41" s="2">
        <v>58.7</v>
      </c>
      <c r="E41" s="2" t="s">
        <v>8</v>
      </c>
      <c r="F41" s="2">
        <v>2</v>
      </c>
      <c r="G41" s="2" t="s">
        <v>10</v>
      </c>
    </row>
    <row r="42" spans="1:7">
      <c r="A42" s="2">
        <v>14</v>
      </c>
      <c r="B42" s="2" t="s">
        <v>13</v>
      </c>
      <c r="C42" s="2">
        <v>68.5</v>
      </c>
      <c r="D42" s="2">
        <v>65</v>
      </c>
      <c r="E42" s="2" t="s">
        <v>12</v>
      </c>
      <c r="F42" s="2">
        <v>5</v>
      </c>
      <c r="G42" s="2" t="s">
        <v>10</v>
      </c>
    </row>
    <row r="43" spans="1:7">
      <c r="A43" s="2">
        <v>18</v>
      </c>
      <c r="B43" s="2" t="s">
        <v>13</v>
      </c>
      <c r="C43" s="2">
        <v>85.2</v>
      </c>
      <c r="D43" s="2">
        <v>79.2</v>
      </c>
      <c r="E43" s="2" t="s">
        <v>8</v>
      </c>
      <c r="F43" s="2">
        <v>3</v>
      </c>
      <c r="G43" s="2" t="s">
        <v>9</v>
      </c>
    </row>
    <row r="44" spans="1:7">
      <c r="A44" s="2">
        <v>32</v>
      </c>
      <c r="B44" s="2" t="s">
        <v>13</v>
      </c>
      <c r="C44" s="2">
        <v>73</v>
      </c>
      <c r="D44" s="2">
        <v>70</v>
      </c>
      <c r="E44" s="2" t="s">
        <v>8</v>
      </c>
      <c r="F44" s="2">
        <v>1</v>
      </c>
      <c r="G44" s="2" t="s">
        <v>10</v>
      </c>
    </row>
    <row r="45" spans="1:7">
      <c r="A45" s="2">
        <v>35</v>
      </c>
      <c r="B45" s="2" t="s">
        <v>13</v>
      </c>
      <c r="C45" s="2">
        <v>87</v>
      </c>
      <c r="D45" s="2">
        <v>86.1</v>
      </c>
      <c r="E45" s="2" t="s">
        <v>8</v>
      </c>
      <c r="F45" s="2">
        <v>7</v>
      </c>
      <c r="G45" s="2" t="s">
        <v>11</v>
      </c>
    </row>
    <row r="46" spans="1:7">
      <c r="A46" s="2">
        <v>37</v>
      </c>
      <c r="B46" s="2" t="s">
        <v>13</v>
      </c>
      <c r="C46" s="2">
        <v>95</v>
      </c>
      <c r="D46" s="2">
        <v>88.6</v>
      </c>
      <c r="E46" s="2" t="s">
        <v>8</v>
      </c>
      <c r="F46" s="2">
        <v>10</v>
      </c>
      <c r="G46" s="2" t="s">
        <v>9</v>
      </c>
    </row>
    <row r="47" spans="1:7">
      <c r="A47" s="2">
        <v>38</v>
      </c>
      <c r="B47" s="2" t="s">
        <v>13</v>
      </c>
      <c r="C47" s="2">
        <v>84</v>
      </c>
      <c r="D47" s="2">
        <v>83</v>
      </c>
      <c r="E47" s="2" t="s">
        <v>12</v>
      </c>
      <c r="F47" s="2">
        <v>6</v>
      </c>
      <c r="G47" s="2" t="s">
        <v>11</v>
      </c>
    </row>
    <row r="48" spans="1:7">
      <c r="A48" s="2">
        <v>40</v>
      </c>
      <c r="B48" s="2" t="s">
        <v>13</v>
      </c>
      <c r="C48" s="2">
        <v>73</v>
      </c>
      <c r="D48" s="2">
        <v>72</v>
      </c>
      <c r="E48" s="2" t="s">
        <v>8</v>
      </c>
      <c r="F48" s="2">
        <v>4</v>
      </c>
      <c r="G48" s="2" t="s">
        <v>11</v>
      </c>
    </row>
    <row r="49" spans="1:7">
      <c r="A49" s="2">
        <v>43</v>
      </c>
      <c r="B49" s="2" t="s">
        <v>13</v>
      </c>
      <c r="C49" s="2">
        <v>75</v>
      </c>
      <c r="D49" s="2">
        <v>72.7</v>
      </c>
      <c r="E49" s="2" t="s">
        <v>8</v>
      </c>
      <c r="F49" s="2">
        <v>7</v>
      </c>
      <c r="G49" s="2" t="s">
        <v>10</v>
      </c>
    </row>
    <row r="50" spans="1:7">
      <c r="A50" s="2">
        <v>49</v>
      </c>
      <c r="B50" s="2" t="s">
        <v>13</v>
      </c>
      <c r="C50" s="2">
        <v>71</v>
      </c>
      <c r="D50" s="2">
        <v>71.400000000000006</v>
      </c>
      <c r="E50" s="2" t="s">
        <v>8</v>
      </c>
      <c r="F50" s="2">
        <v>7</v>
      </c>
      <c r="G50" s="2" t="s">
        <v>11</v>
      </c>
    </row>
    <row r="51" spans="1:7">
      <c r="A51" s="2">
        <v>50</v>
      </c>
      <c r="B51" s="2" t="s">
        <v>13</v>
      </c>
      <c r="C51" s="2">
        <v>86</v>
      </c>
      <c r="D51" s="2">
        <v>78</v>
      </c>
      <c r="E51" s="2" t="s">
        <v>8</v>
      </c>
      <c r="F51" s="2">
        <v>7</v>
      </c>
      <c r="G51" s="2" t="s">
        <v>9</v>
      </c>
    </row>
    <row r="52" spans="1:7">
      <c r="A52" s="2">
        <v>51</v>
      </c>
      <c r="B52" s="2" t="s">
        <v>7</v>
      </c>
      <c r="C52" s="2">
        <v>58</v>
      </c>
      <c r="D52" s="2">
        <v>52.8</v>
      </c>
      <c r="E52" s="2" t="s">
        <v>8</v>
      </c>
      <c r="F52" s="2">
        <v>12</v>
      </c>
      <c r="G52" s="2" t="s">
        <v>9</v>
      </c>
    </row>
    <row r="53" spans="1:7">
      <c r="A53" s="2">
        <v>52</v>
      </c>
      <c r="B53" s="2" t="s">
        <v>7</v>
      </c>
      <c r="C53" s="2">
        <v>70</v>
      </c>
      <c r="D53" s="2">
        <v>52.5</v>
      </c>
      <c r="E53" s="2" t="s">
        <v>12</v>
      </c>
      <c r="F53" s="2">
        <v>10</v>
      </c>
      <c r="G53" s="2" t="s">
        <v>9</v>
      </c>
    </row>
    <row r="54" spans="1:7">
      <c r="A54" s="2">
        <v>53</v>
      </c>
      <c r="B54" s="2" t="s">
        <v>7</v>
      </c>
      <c r="C54" s="2">
        <v>56</v>
      </c>
      <c r="D54" s="2">
        <v>50.4</v>
      </c>
      <c r="E54" s="2" t="s">
        <v>8</v>
      </c>
      <c r="F54" s="2">
        <v>2</v>
      </c>
      <c r="G54" s="2" t="s">
        <v>9</v>
      </c>
    </row>
    <row r="55" spans="1:7">
      <c r="A55" s="2">
        <v>54</v>
      </c>
      <c r="B55" s="2" t="s">
        <v>7</v>
      </c>
      <c r="C55" s="2">
        <v>58</v>
      </c>
      <c r="D55" s="2">
        <v>49.9</v>
      </c>
      <c r="E55" s="2" t="s">
        <v>8</v>
      </c>
      <c r="F55" s="2">
        <v>4</v>
      </c>
      <c r="G55" s="2" t="s">
        <v>9</v>
      </c>
    </row>
    <row r="57" spans="1:7">
      <c r="B57" s="2" t="s">
        <v>14</v>
      </c>
      <c r="C57">
        <f>AVERAGE(C2:C55)</f>
        <v>61.831481481481482</v>
      </c>
      <c r="D57">
        <f>AVERAGE(D2:D55)</f>
        <v>57.772222222222226</v>
      </c>
    </row>
    <row r="58" spans="1:7">
      <c r="B58" s="2" t="s">
        <v>16</v>
      </c>
      <c r="C58">
        <f>MEDIAN(C2:C55)</f>
        <v>58</v>
      </c>
      <c r="D58">
        <f>MEDIAN(D2:D55)</f>
        <v>52.6</v>
      </c>
    </row>
    <row r="59" spans="1:7">
      <c r="B59" s="2" t="s">
        <v>15</v>
      </c>
      <c r="C59">
        <f>STDEVA(C2:C55)</f>
        <v>11.591194186513377</v>
      </c>
      <c r="D59">
        <f>STDEVA(D2:D55)</f>
        <v>11.19437892412321</v>
      </c>
    </row>
    <row r="60" spans="1:7">
      <c r="B60" s="2" t="s">
        <v>17</v>
      </c>
      <c r="C60">
        <f>C59/C57</f>
        <v>0.18746428047312658</v>
      </c>
      <c r="D60">
        <f>D59/D57</f>
        <v>0.19376749748458291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414b3a-a5fe-4cac-983c-e45011456da6">
      <Terms xmlns="http://schemas.microsoft.com/office/infopath/2007/PartnerControls"/>
    </lcf76f155ced4ddcb4097134ff3c332f>
    <TaxCatchAll xmlns="17324f9f-073f-401a-9853-e5e1417814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D0F85B7C0A9045940F699C335027F4" ma:contentTypeVersion="11" ma:contentTypeDescription="Crie um novo documento." ma:contentTypeScope="" ma:versionID="167d4d051ae060e01e0249d45264bdc4">
  <xsd:schema xmlns:xsd="http://www.w3.org/2001/XMLSchema" xmlns:xs="http://www.w3.org/2001/XMLSchema" xmlns:p="http://schemas.microsoft.com/office/2006/metadata/properties" xmlns:ns2="c4414b3a-a5fe-4cac-983c-e45011456da6" xmlns:ns3="17324f9f-073f-401a-9853-e5e141781456" targetNamespace="http://schemas.microsoft.com/office/2006/metadata/properties" ma:root="true" ma:fieldsID="7c057a1fd8a0d58fd41f8914ff1955e4" ns2:_="" ns3:_="">
    <xsd:import namespace="c4414b3a-a5fe-4cac-983c-e45011456da6"/>
    <xsd:import namespace="17324f9f-073f-401a-9853-e5e141781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14b3a-a5fe-4cac-983c-e45011456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9ba144a-f28b-4c4b-8e58-ad98e5dc40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24f9f-073f-401a-9853-e5e141781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780e03-7a79-4974-9c01-3dc1aa55c2e2}" ma:internalName="TaxCatchAll" ma:showField="CatchAllData" ma:web="17324f9f-073f-401a-9853-e5e141781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42A59F-0008-419B-BF93-99056A05F494}">
  <ds:schemaRefs>
    <ds:schemaRef ds:uri="http://schemas.microsoft.com/office/2006/metadata/properties"/>
    <ds:schemaRef ds:uri="http://schemas.microsoft.com/office/infopath/2007/PartnerControls"/>
    <ds:schemaRef ds:uri="c4414b3a-a5fe-4cac-983c-e45011456da6"/>
    <ds:schemaRef ds:uri="17324f9f-073f-401a-9853-e5e141781456"/>
  </ds:schemaRefs>
</ds:datastoreItem>
</file>

<file path=customXml/itemProps2.xml><?xml version="1.0" encoding="utf-8"?>
<ds:datastoreItem xmlns:ds="http://schemas.openxmlformats.org/officeDocument/2006/customXml" ds:itemID="{4B8DB4FF-37E1-4DBA-8DFA-182027A12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14b3a-a5fe-4cac-983c-e45011456da6"/>
    <ds:schemaRef ds:uri="17324f9f-073f-401a-9853-e5e1417814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3EDF0C-E9C9-4E03-A7F9-FCC0C60D7B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Planilha3</vt:lpstr>
      <vt:lpstr>Sheet1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cezar augusto cerqueira</dc:creator>
  <cp:keywords/>
  <dc:description/>
  <cp:lastModifiedBy>Matheus Barbosa</cp:lastModifiedBy>
  <cp:revision/>
  <dcterms:created xsi:type="dcterms:W3CDTF">2020-09-03T19:16:27Z</dcterms:created>
  <dcterms:modified xsi:type="dcterms:W3CDTF">2024-09-26T14:58:34Z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0x01010087D0F85B7C0A9045940F699C335027F4</vt:lpwstr>
  </property>
</Properties>
</file>